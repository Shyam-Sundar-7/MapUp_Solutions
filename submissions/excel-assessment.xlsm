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MapUp-Data-Assessment-F\submissions\"/>
    </mc:Choice>
  </mc:AlternateContent>
  <xr:revisionPtr revIDLastSave="0" documentId="13_ncr:1_{803383A8-2AAF-474E-81C4-7D52AA70B81E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05_05_2023">Dataset!$X$3:$X$40</definedName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nday">Dataset!$C$3:$C$40</definedName>
    <definedName name="Sunday">Dataset!$E$3:$E$40</definedName>
    <definedName name="Warrendale">Dataset!$A$3:$A$40</definedName>
  </definedNames>
  <calcPr calcId="181029"/>
</workbook>
</file>

<file path=xl/calcChain.xml><?xml version="1.0" encoding="utf-8"?>
<calcChain xmlns="http://schemas.openxmlformats.org/spreadsheetml/2006/main">
  <c r="C22" i="19" l="1"/>
  <c r="C23" i="20"/>
  <c r="D13" i="19"/>
  <c r="D14" i="19"/>
  <c r="D15" i="19"/>
  <c r="D16" i="19"/>
  <c r="D17" i="19"/>
  <c r="D18" i="19"/>
  <c r="D19" i="19"/>
  <c r="D20" i="19"/>
  <c r="D21" i="19"/>
  <c r="D12" i="19"/>
  <c r="G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F23" i="20"/>
  <c r="E23" i="20"/>
  <c r="C7" i="18"/>
  <c r="D7" i="18"/>
  <c r="E7" i="18"/>
  <c r="F7" i="18"/>
  <c r="C8" i="18"/>
  <c r="D8" i="18"/>
  <c r="E8" i="18"/>
  <c r="F8" i="18"/>
  <c r="C9" i="18"/>
  <c r="D9" i="18"/>
  <c r="E9" i="18"/>
  <c r="F9" i="18"/>
  <c r="C10" i="18"/>
  <c r="D10" i="18"/>
  <c r="E10" i="18"/>
  <c r="F10" i="18"/>
  <c r="C11" i="18"/>
  <c r="D11" i="18"/>
  <c r="E11" i="18"/>
  <c r="F11" i="18"/>
  <c r="C12" i="18"/>
  <c r="D12" i="18"/>
  <c r="E12" i="18"/>
  <c r="F12" i="18"/>
  <c r="C13" i="18"/>
  <c r="D13" i="18"/>
  <c r="E13" i="18"/>
  <c r="F13" i="18"/>
  <c r="C14" i="18"/>
  <c r="D14" i="18"/>
  <c r="E14" i="18"/>
  <c r="F14" i="18"/>
  <c r="C15" i="18"/>
  <c r="D15" i="18"/>
  <c r="E15" i="18"/>
  <c r="F15" i="18"/>
  <c r="C16" i="18"/>
  <c r="D16" i="18"/>
  <c r="E16" i="18"/>
  <c r="F16" i="18"/>
  <c r="C17" i="18"/>
  <c r="D17" i="18"/>
  <c r="E17" i="18"/>
  <c r="F17" i="18"/>
  <c r="C18" i="18"/>
  <c r="D18" i="18"/>
  <c r="E18" i="18"/>
  <c r="F18" i="18"/>
  <c r="C19" i="18"/>
  <c r="D19" i="18"/>
  <c r="E19" i="18"/>
  <c r="F19" i="18"/>
  <c r="C20" i="18"/>
  <c r="D20" i="18"/>
  <c r="E20" i="18"/>
  <c r="F20" i="18"/>
  <c r="C21" i="18"/>
  <c r="D21" i="18"/>
  <c r="E21" i="18"/>
  <c r="F21" i="18"/>
  <c r="C22" i="18"/>
  <c r="D22" i="18"/>
  <c r="E22" i="18"/>
  <c r="F22" i="18"/>
  <c r="C23" i="18"/>
  <c r="D23" i="18"/>
  <c r="E23" i="18"/>
  <c r="F23" i="18"/>
  <c r="C24" i="18"/>
  <c r="D24" i="18"/>
  <c r="E24" i="18"/>
  <c r="F24" i="18"/>
  <c r="C25" i="18"/>
  <c r="D25" i="18"/>
  <c r="E25" i="18"/>
  <c r="F25" i="18"/>
  <c r="C26" i="18"/>
  <c r="D26" i="18"/>
  <c r="E26" i="18"/>
  <c r="F26" i="18"/>
  <c r="C27" i="18"/>
  <c r="D27" i="18"/>
  <c r="E27" i="18"/>
  <c r="F27" i="18"/>
  <c r="F6" i="18"/>
  <c r="E6" i="18"/>
  <c r="E28" i="18" s="1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5" i="15"/>
  <c r="C28" i="18" l="1"/>
  <c r="D28" i="18"/>
  <c r="B30" i="18"/>
  <c r="F28" i="18"/>
  <c r="F29" i="18"/>
  <c r="B28" i="18"/>
  <c r="E29" i="18"/>
  <c r="B29" i="18"/>
  <c r="D29" i="18"/>
  <c r="C29" i="18"/>
  <c r="F30" i="18"/>
  <c r="E30" i="18"/>
  <c r="D30" i="18"/>
  <c r="C30" i="18"/>
</calcChain>
</file>

<file path=xl/sharedStrings.xml><?xml version="1.0" encoding="utf-8"?>
<sst xmlns="http://schemas.openxmlformats.org/spreadsheetml/2006/main" count="415" uniqueCount="192">
  <si>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</si>
  <si>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</si>
  <si>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</si>
  <si>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</si>
  <si>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</si>
  <si>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</si>
  <si>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</si>
  <si>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</si>
  <si>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</si>
  <si>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</si>
  <si>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</si>
  <si>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</si>
  <si>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</si>
  <si>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</si>
  <si>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</si>
  <si>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</si>
  <si>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</si>
  <si>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</si>
  <si>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</si>
  <si>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</si>
  <si>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</si>
  <si>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</si>
  <si>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</si>
  <si>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</si>
  <si>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</si>
  <si>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</si>
  <si>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</si>
  <si>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</si>
  <si>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</si>
  <si>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</si>
  <si>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</si>
  <si>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</si>
  <si>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</si>
  <si>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</si>
  <si>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</si>
  <si>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</si>
  <si>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</si>
  <si>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</si>
  <si>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</si>
  <si>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</si>
  <si>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</si>
  <si>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</si>
  <si>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</si>
  <si>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</si>
  <si>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</si>
  <si>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</si>
  <si>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</si>
  <si>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</si>
  <si>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</si>
  <si>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</si>
  <si>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</si>
  <si>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</si>
  <si>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</si>
  <si>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</si>
  <si>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</si>
  <si>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</si>
  <si>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</si>
  <si>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</si>
  <si>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</si>
  <si>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</si>
  <si>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</si>
  <si>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</si>
  <si>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</si>
  <si>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</si>
  <si>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</si>
  <si>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</si>
  <si>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</si>
  <si>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</si>
  <si>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</si>
  <si>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</si>
  <si>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</si>
  <si>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</si>
  <si>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</si>
  <si>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</si>
  <si>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</si>
  <si>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</si>
  <si>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</si>
  <si>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</si>
  <si>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</si>
  <si>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</si>
  <si>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</si>
  <si>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</si>
  <si>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</si>
  <si>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</si>
  <si>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</si>
  <si>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</si>
  <si>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</si>
  <si>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</si>
  <si>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</si>
  <si>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</si>
  <si>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</si>
  <si>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</si>
  <si>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</si>
  <si>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</si>
  <si>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</si>
  <si>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</si>
  <si>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</si>
  <si>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</si>
  <si>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</si>
  <si>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</si>
  <si>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</si>
  <si>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</si>
  <si>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</si>
  <si>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</si>
  <si>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</si>
  <si>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</si>
  <si>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</si>
  <si>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</si>
  <si>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</si>
  <si>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</si>
  <si>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</si>
  <si>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</si>
  <si>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</si>
  <si>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</si>
  <si>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</si>
  <si>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</si>
  <si>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</si>
  <si>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</si>
  <si>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</si>
  <si>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</si>
  <si>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</si>
  <si>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</si>
  <si>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</si>
  <si>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</si>
  <si>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</si>
  <si>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</si>
  <si>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</si>
  <si>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</si>
  <si>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</si>
  <si>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</si>
  <si>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</si>
  <si>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</si>
  <si>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</si>
  <si>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</si>
  <si>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</si>
  <si>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</si>
  <si>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</si>
  <si>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</si>
  <si>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</si>
  <si>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</si>
  <si>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</si>
  <si>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</si>
  <si>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</si>
  <si>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</si>
  <si>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</si>
  <si>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</si>
  <si>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</si>
  <si>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</si>
  <si>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</si>
  <si>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</si>
  <si>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</si>
  <si>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</si>
  <si>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</si>
  <si>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</si>
  <si>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</si>
  <si>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</si>
  <si>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</si>
  <si>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</si>
  <si>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</si>
  <si>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</si>
  <si>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</si>
  <si>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</si>
  <si>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</si>
  <si>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</si>
  <si>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</si>
  <si>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</si>
  <si>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</si>
  <si>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</si>
  <si>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</si>
  <si>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</si>
  <si>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</si>
  <si>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</si>
  <si>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</si>
  <si>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</si>
  <si>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</si>
  <si>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</si>
  <si>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</si>
  <si>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SUMIF(Table1[car2],"&gt;20")</t>
  </si>
  <si>
    <t>By using text to columns in the data tab.</t>
  </si>
  <si>
    <t>Select the range of the table_A from A15:A54,click delimiter and  click next, type '-' in the other field and click next and select the destination cell as $B$16</t>
  </si>
  <si>
    <t>click finish</t>
  </si>
  <si>
    <t>vlookup and match</t>
  </si>
  <si>
    <t>VLOOKUP(A23,$M$10:$N$18,2,FALSE)</t>
  </si>
  <si>
    <t>one lookup and match to get the corresponding value from Table_A</t>
  </si>
  <si>
    <t>vlookup to match id with name from Table_B</t>
  </si>
  <si>
    <t>VLOOKUP(E23,$A$10:$J$18,MATCH(F23,$A$9:$J$9,0),FALSE)</t>
  </si>
  <si>
    <t>then replacing E23 and F23 with above vloopup condition</t>
  </si>
  <si>
    <t>click the below cell to see the formula</t>
  </si>
  <si>
    <t>iferror, sum</t>
  </si>
  <si>
    <t xml:space="preserve">used iferror to convert all na to 20 and stored in the nearby column </t>
  </si>
  <si>
    <t>and we summed them all using sum()</t>
  </si>
  <si>
    <t>I just made before column's values font color as white, so you don’t see the value being displayed. You can see the formula by selecting right side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</si>
</sst>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6"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000000"/>
          <bgColor rgb="FFB1A0C7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00FF00"/>
      <color rgb="FFFF0000"/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1B683F-4E38-47BE-9C73-697F5FB897AA}" name="Table1" displayName="Table1" ref="A1:X40" totalsRowShown="0" headerRowDxfId="33" dataDxfId="32">
  <autoFilter ref="A1:X40" xr:uid="{B21B683F-4E38-47BE-9C73-697F5FB897AA}"/>
  <tableColumns count="24">
    <tableColumn id="1" xr3:uid="{F6522150-A453-4696-B9EB-D43AA8F3846B}" name="name" dataDxfId="31"/>
    <tableColumn id="2" xr3:uid="{5203A41C-4ADC-45EC-8CD7-8C77272DBEE1}" name="ID" dataDxfId="30"/>
    <tableColumn id="3" xr3:uid="{DC487352-96BB-4BAE-83B4-6CD88DF571CA}" name="start_day" dataDxfId="9"/>
    <tableColumn id="4" xr3:uid="{B617D90A-D17B-49C7-9E0F-4549634870BF}" name="start_time" dataDxfId="10"/>
    <tableColumn id="5" xr3:uid="{44506AFA-A72C-4275-9F93-C2AE2FD44523}" name="end_day" dataDxfId="8"/>
    <tableColumn id="6" xr3:uid="{CB2EC555-D1CC-4703-912C-3801FF754BD2}" name="end_time" dataDxfId="29"/>
    <tableColumn id="7" xr3:uid="{556944B2-8502-4048-BC5D-ED2EA844B560}" name="car1" dataDxfId="28"/>
    <tableColumn id="8" xr3:uid="{D11E059C-55DF-4E72-960A-6946961AB60B}" name="car2" dataDxfId="27"/>
    <tableColumn id="9" xr3:uid="{06903C8E-CDD3-414D-9EC5-2AFDFF6A430E}" name="car3" dataDxfId="26"/>
    <tableColumn id="10" xr3:uid="{E3BE66D5-C3DE-42E1-859F-DED84A793265}" name="moto1" dataDxfId="25"/>
    <tableColumn id="11" xr3:uid="{A6851973-2FAB-4143-B576-EFE49BC2EA06}" name="moto2" dataDxfId="24"/>
    <tableColumn id="12" xr3:uid="{9A520653-113B-413B-94D2-686BBCCF3D9D}" name="moto3" dataDxfId="23"/>
    <tableColumn id="13" xr3:uid="{E361EB84-BE9F-49B6-B3C8-75FBC6782A7D}" name="bus1" dataDxfId="22"/>
    <tableColumn id="14" xr3:uid="{C730E88D-F9D0-43ED-83A4-1A5A02CB3258}" name="bus2" dataDxfId="21"/>
    <tableColumn id="15" xr3:uid="{EA9B7C08-9BEC-47E6-B529-55EE9F9D223A}" name="bus3" dataDxfId="20"/>
    <tableColumn id="16" xr3:uid="{2785ED47-017C-4620-991C-26C6AA58E37F}" name="rv1" dataDxfId="19"/>
    <tableColumn id="17" xr3:uid="{BB39DFF1-4CDF-40F4-A643-E181F98BBFC1}" name="rv2" dataDxfId="18"/>
    <tableColumn id="18" xr3:uid="{10991F58-2E10-4735-A963-EE19E9CE0250}" name="rv3" dataDxfId="17"/>
    <tableColumn id="19" xr3:uid="{2D4899F2-3172-4D6B-BA76-4053F56F291C}" name="truck1" dataDxfId="16"/>
    <tableColumn id="20" xr3:uid="{55320BA5-6A66-4377-BE8D-08EE0D653C04}" name="truck2" dataDxfId="15"/>
    <tableColumn id="21" xr3:uid="{4AFBBC26-1D4A-4413-8823-7FE6C5B7CAE8}" name="taxi1" dataDxfId="14"/>
    <tableColumn id="22" xr3:uid="{5E2A794D-67AE-40AF-A447-E662C0350334}" name="taxi2" dataDxfId="13"/>
    <tableColumn id="23" xr3:uid="{E921809D-F367-4C69-BD76-8B6A9599EFC9}" name="taxi3" dataDxfId="12"/>
    <tableColumn id="24" xr3:uid="{F62A563E-D682-4F1E-8457-C76F0FD2D2AC}" name="date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3" sqref="A23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pane="bottomLeft" activeCell="G11" sqref="G1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10.77734375" style="1" customWidth="1"/>
    <col min="4" max="4" width="11.44140625" style="24" customWidth="1"/>
    <col min="5" max="5" width="10.21875" style="1" customWidth="1"/>
    <col min="6" max="6" width="10.88671875" style="24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A2:X40">
    <cfRule type="cellIs" dxfId="5" priority="2" operator="equal">
      <formula>-1</formula>
    </cfRule>
  </conditionalFormatting>
  <conditionalFormatting sqref="G2:X40">
    <cfRule type="cellIs" dxfId="4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D5" s="1">
        <f>SUMIF(Table1[car2],"&gt;20")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Normal="100" workbookViewId="0">
      <selection activeCell="A12" sqref="A12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VLOOKUP(A6,Table1[],7,0)</f>
        <v>2.7</v>
      </c>
      <c r="C6" s="12">
        <f>VLOOKUP(A6,Table1[],14,0)</f>
        <v>7.6</v>
      </c>
      <c r="D6" s="12">
        <f>VLOOKUP(A6,Table1[],18,FALSE)</f>
        <v>4.2</v>
      </c>
      <c r="E6" s="12">
        <f>VLOOKUP(A6,Table1[],20,FALSE)</f>
        <v>8.9</v>
      </c>
      <c r="F6" s="8">
        <f>VLOOKUP(A6,Table1[],22,FALSE)</f>
        <v>4.2</v>
      </c>
    </row>
    <row r="7" spans="1:7" ht="14.4" x14ac:dyDescent="0.3">
      <c r="A7" s="7" t="s">
        <v>4</v>
      </c>
      <c r="B7" s="12">
        <f>VLOOKUP(A7,Table1[],7,0)</f>
        <v>2.7</v>
      </c>
      <c r="C7" s="12">
        <f>VLOOKUP(A7,Table1[],14,0)</f>
        <v>7.6</v>
      </c>
      <c r="D7" s="12">
        <f>VLOOKUP(A7,Table1[],18,FALSE)</f>
        <v>4.2</v>
      </c>
      <c r="E7" s="12">
        <f>VLOOKUP(A7,Table1[],20,FALSE)</f>
        <v>8.9</v>
      </c>
      <c r="F7" s="8">
        <f>VLOOKUP(A7,Table1[],22,FALSE)</f>
        <v>4.2</v>
      </c>
    </row>
    <row r="8" spans="1:7" ht="14.4" x14ac:dyDescent="0.3">
      <c r="A8" s="7" t="s">
        <v>7</v>
      </c>
      <c r="B8" s="12">
        <f>VLOOKUP(A8,Table1[],7,0)</f>
        <v>3.6</v>
      </c>
      <c r="C8" s="12">
        <f>VLOOKUP(A8,Table1[],14,0)</f>
        <v>11.1</v>
      </c>
      <c r="D8" s="12">
        <f>VLOOKUP(A8,Table1[],18,FALSE)</f>
        <v>5.8</v>
      </c>
      <c r="E8" s="12">
        <f>VLOOKUP(A8,Table1[],20,FALSE)</f>
        <v>12.2</v>
      </c>
      <c r="F8" s="8">
        <f>VLOOKUP(A8,Table1[],22,FALSE)</f>
        <v>5.8</v>
      </c>
    </row>
    <row r="9" spans="1:7" ht="14.4" x14ac:dyDescent="0.3">
      <c r="A9" s="7" t="s">
        <v>8</v>
      </c>
      <c r="B9" s="12">
        <f>VLOOKUP(A9,Table1[],7,0)</f>
        <v>4.9000000000000004</v>
      </c>
      <c r="C9" s="12">
        <f>VLOOKUP(A9,Table1[],14,0)</f>
        <v>13.3</v>
      </c>
      <c r="D9" s="12">
        <f>VLOOKUP(A9,Table1[],18,FALSE)</f>
        <v>8.1</v>
      </c>
      <c r="E9" s="12">
        <f>VLOOKUP(A9,Table1[],20,FALSE)</f>
        <v>17</v>
      </c>
      <c r="F9" s="8">
        <f>VLOOKUP(A9,Table1[],22,FALSE)</f>
        <v>8.1</v>
      </c>
    </row>
    <row r="10" spans="1:7" ht="14.4" x14ac:dyDescent="0.3">
      <c r="A10" s="7" t="s">
        <v>11</v>
      </c>
      <c r="B10" s="12">
        <f>VLOOKUP(A10,Table1[],7,0)</f>
        <v>9.4</v>
      </c>
      <c r="C10" s="12">
        <f>VLOOKUP(A10,Table1[],14,0)</f>
        <v>28.3</v>
      </c>
      <c r="D10" s="12">
        <f>VLOOKUP(A10,Table1[],18,FALSE)</f>
        <v>16.100000000000001</v>
      </c>
      <c r="E10" s="12">
        <f>VLOOKUP(A10,Table1[],20,FALSE)</f>
        <v>32.799999999999997</v>
      </c>
      <c r="F10" s="8">
        <f>VLOOKUP(A10,Table1[],22,FALSE)</f>
        <v>16.100000000000001</v>
      </c>
    </row>
    <row r="11" spans="1:7" ht="14.4" x14ac:dyDescent="0.3">
      <c r="A11" s="7" t="s">
        <v>12</v>
      </c>
      <c r="B11" s="12">
        <f>VLOOKUP(A11,Table1[],7,0)</f>
        <v>11.6</v>
      </c>
      <c r="C11" s="12">
        <f>VLOOKUP(A11,Table1[],14,0)</f>
        <v>35.200000000000003</v>
      </c>
      <c r="D11" s="12">
        <f>VLOOKUP(A11,Table1[],18,FALSE)</f>
        <v>21.3</v>
      </c>
      <c r="E11" s="12">
        <f>VLOOKUP(A11,Table1[],20,FALSE)</f>
        <v>43</v>
      </c>
      <c r="F11" s="8">
        <f>VLOOKUP(A11,Table1[],22,FALSE)</f>
        <v>21.3</v>
      </c>
    </row>
    <row r="12" spans="1:7" ht="14.4" x14ac:dyDescent="0.3">
      <c r="A12" s="7" t="s">
        <v>14</v>
      </c>
      <c r="B12" s="12">
        <f>VLOOKUP(A12,Table1[],7,0)</f>
        <v>18.399999999999999</v>
      </c>
      <c r="C12" s="12">
        <f>VLOOKUP(A12,Table1[],14,0)</f>
        <v>55.6</v>
      </c>
      <c r="D12" s="12">
        <f>VLOOKUP(A12,Table1[],18,FALSE)</f>
        <v>33.799999999999997</v>
      </c>
      <c r="E12" s="12">
        <f>VLOOKUP(A12,Table1[],20,FALSE)</f>
        <v>67.900000000000006</v>
      </c>
      <c r="F12" s="8">
        <f>VLOOKUP(A12,Table1[],22,FALSE)</f>
        <v>33.799999999999997</v>
      </c>
    </row>
    <row r="13" spans="1:7" ht="14.4" x14ac:dyDescent="0.3">
      <c r="A13" s="7" t="s">
        <v>15</v>
      </c>
      <c r="B13" s="12">
        <f>VLOOKUP(A13,Table1[],7,0)</f>
        <v>0</v>
      </c>
      <c r="C13" s="12">
        <f>VLOOKUP(A13,Table1[],14,0)</f>
        <v>0</v>
      </c>
      <c r="D13" s="12">
        <f>VLOOKUP(A13,Table1[],18,FALSE)</f>
        <v>0</v>
      </c>
      <c r="E13" s="12">
        <f>VLOOKUP(A13,Table1[],20,FALSE)</f>
        <v>0</v>
      </c>
      <c r="F13" s="8">
        <f>VLOOKUP(A13,Table1[],22,FALSE)</f>
        <v>0</v>
      </c>
    </row>
    <row r="14" spans="1:7" ht="14.4" x14ac:dyDescent="0.3">
      <c r="A14" s="7" t="s">
        <v>16</v>
      </c>
      <c r="B14" s="12">
        <f>VLOOKUP(A14,Table1[],7,0)</f>
        <v>21.9</v>
      </c>
      <c r="C14" s="12">
        <f>VLOOKUP(A14,Table1[],14,0)</f>
        <v>61.5</v>
      </c>
      <c r="D14" s="12">
        <f>VLOOKUP(A14,Table1[],18,FALSE)</f>
        <v>40.1</v>
      </c>
      <c r="E14" s="12">
        <f>VLOOKUP(A14,Table1[],20,FALSE)</f>
        <v>76.599999999999994</v>
      </c>
      <c r="F14" s="8">
        <f>VLOOKUP(A14,Table1[],22,FALSE)</f>
        <v>40.1</v>
      </c>
    </row>
    <row r="15" spans="1:7" ht="14.4" x14ac:dyDescent="0.3">
      <c r="A15" s="7" t="s">
        <v>18</v>
      </c>
      <c r="B15" s="12">
        <f>VLOOKUP(A15,Table1[],7,0)</f>
        <v>26.8</v>
      </c>
      <c r="C15" s="12">
        <f>VLOOKUP(A15,Table1[],14,0)</f>
        <v>79.599999999999994</v>
      </c>
      <c r="D15" s="12">
        <f>VLOOKUP(A15,Table1[],18,FALSE)</f>
        <v>47.9</v>
      </c>
      <c r="E15" s="12">
        <f>VLOOKUP(A15,Table1[],20,FALSE)</f>
        <v>96.8</v>
      </c>
      <c r="F15" s="8">
        <f>VLOOKUP(A15,Table1[],22,FALSE)</f>
        <v>47.9</v>
      </c>
    </row>
    <row r="16" spans="1:7" ht="14.4" x14ac:dyDescent="0.3">
      <c r="A16" s="7" t="s">
        <v>20</v>
      </c>
      <c r="B16" s="12">
        <f>VLOOKUP(A16,Table1[],7,0)</f>
        <v>28.5</v>
      </c>
      <c r="C16" s="12">
        <f>VLOOKUP(A16,Table1[],14,0)</f>
        <v>85.4</v>
      </c>
      <c r="D16" s="12">
        <f>VLOOKUP(A16,Table1[],18,FALSE)</f>
        <v>52.3</v>
      </c>
      <c r="E16" s="12">
        <f>VLOOKUP(A16,Table1[],20,FALSE)</f>
        <v>106.1</v>
      </c>
      <c r="F16" s="8">
        <f>VLOOKUP(A16,Table1[],22,FALSE)</f>
        <v>52.3</v>
      </c>
    </row>
    <row r="17" spans="1:6" ht="14.4" x14ac:dyDescent="0.3">
      <c r="A17" s="7" t="s">
        <v>22</v>
      </c>
      <c r="B17" s="12">
        <f>VLOOKUP(A17,Table1[],7,0)</f>
        <v>30.7</v>
      </c>
      <c r="C17" s="12">
        <f>VLOOKUP(A17,Table1[],14,0)</f>
        <v>92.1</v>
      </c>
      <c r="D17" s="12">
        <f>VLOOKUP(A17,Table1[],18,FALSE)</f>
        <v>57</v>
      </c>
      <c r="E17" s="12">
        <f>VLOOKUP(A17,Table1[],20,FALSE)</f>
        <v>115.1</v>
      </c>
      <c r="F17" s="8">
        <f>VLOOKUP(A17,Table1[],22,FALSE)</f>
        <v>57</v>
      </c>
    </row>
    <row r="18" spans="1:6" ht="14.4" x14ac:dyDescent="0.3">
      <c r="A18" s="7" t="s">
        <v>23</v>
      </c>
      <c r="B18" s="12">
        <f>VLOOKUP(A18,Table1[],7,0)</f>
        <v>33.799999999999997</v>
      </c>
      <c r="C18" s="12">
        <f>VLOOKUP(A18,Table1[],14,0)</f>
        <v>101.3</v>
      </c>
      <c r="D18" s="12">
        <f>VLOOKUP(A18,Table1[],18,FALSE)</f>
        <v>61.4</v>
      </c>
      <c r="E18" s="12">
        <f>VLOOKUP(A18,Table1[],20,FALSE)</f>
        <v>124.4</v>
      </c>
      <c r="F18" s="8">
        <f>VLOOKUP(A18,Table1[],22,FALSE)</f>
        <v>61.4</v>
      </c>
    </row>
    <row r="19" spans="1:6" ht="14.4" x14ac:dyDescent="0.3">
      <c r="A19" s="7" t="s">
        <v>24</v>
      </c>
      <c r="B19" s="12">
        <f>VLOOKUP(A19,Table1[],7,0)</f>
        <v>34.700000000000003</v>
      </c>
      <c r="C19" s="12">
        <f>VLOOKUP(A19,Table1[],14,0)</f>
        <v>106.1</v>
      </c>
      <c r="D19" s="12">
        <f>VLOOKUP(A19,Table1[],18,FALSE)</f>
        <v>63.6</v>
      </c>
      <c r="E19" s="12">
        <f>VLOOKUP(A19,Table1[],20,FALSE)</f>
        <v>128.6</v>
      </c>
      <c r="F19" s="8">
        <f>VLOOKUP(A19,Table1[],22,FALSE)</f>
        <v>63.6</v>
      </c>
    </row>
    <row r="20" spans="1:6" ht="14.4" x14ac:dyDescent="0.3">
      <c r="A20" s="7" t="s">
        <v>28</v>
      </c>
      <c r="B20" s="12">
        <f>VLOOKUP(A20,Table1[],7,0)</f>
        <v>0</v>
      </c>
      <c r="C20" s="12">
        <f>VLOOKUP(A20,Table1[],14,0)</f>
        <v>0</v>
      </c>
      <c r="D20" s="12">
        <f>VLOOKUP(A20,Table1[],18,FALSE)</f>
        <v>0</v>
      </c>
      <c r="E20" s="12">
        <f>VLOOKUP(A20,Table1[],20,FALSE)</f>
        <v>0</v>
      </c>
      <c r="F20" s="8">
        <f>VLOOKUP(A20,Table1[],22,FALSE)</f>
        <v>0</v>
      </c>
    </row>
    <row r="21" spans="1:6" ht="14.4" x14ac:dyDescent="0.3">
      <c r="A21" s="7" t="s">
        <v>57</v>
      </c>
      <c r="B21" s="12">
        <f>VLOOKUP(A21,Table1[],7,0)</f>
        <v>41.3</v>
      </c>
      <c r="C21" s="12">
        <f>VLOOKUP(A21,Table1[],14,0)</f>
        <v>124.4</v>
      </c>
      <c r="D21" s="12">
        <f>VLOOKUP(A21,Table1[],18,FALSE)</f>
        <v>75</v>
      </c>
      <c r="E21" s="12">
        <f>VLOOKUP(A21,Table1[],20,FALSE)</f>
        <v>151.5</v>
      </c>
      <c r="F21" s="8">
        <f>VLOOKUP(A21,Table1[],22,FALSE)</f>
        <v>75</v>
      </c>
    </row>
    <row r="22" spans="1:6" ht="14.4" x14ac:dyDescent="0.3">
      <c r="A22" s="7" t="s">
        <v>58</v>
      </c>
      <c r="B22" s="12">
        <f>VLOOKUP(A22,Table1[],7,0)</f>
        <v>-1</v>
      </c>
      <c r="C22" s="12">
        <f>VLOOKUP(A22,Table1[],14,0)</f>
        <v>-1</v>
      </c>
      <c r="D22" s="12">
        <f>VLOOKUP(A22,Table1[],18,FALSE)</f>
        <v>-1</v>
      </c>
      <c r="E22" s="12">
        <f>VLOOKUP(A22,Table1[],20,FALSE)</f>
        <v>-1</v>
      </c>
      <c r="F22" s="8">
        <f>VLOOKUP(A22,Table1[],22,FALSE)</f>
        <v>-1</v>
      </c>
    </row>
    <row r="23" spans="1:6" ht="14.4" x14ac:dyDescent="0.3">
      <c r="A23" s="7" t="s">
        <v>31</v>
      </c>
      <c r="B23" s="12">
        <f>VLOOKUP(A23,Table1[],7,0)</f>
        <v>45</v>
      </c>
      <c r="C23" s="12">
        <f>VLOOKUP(A23,Table1[],14,0)</f>
        <v>133.4</v>
      </c>
      <c r="D23" s="12">
        <f>VLOOKUP(A23,Table1[],18,FALSE)</f>
        <v>79.400000000000006</v>
      </c>
      <c r="E23" s="12">
        <f>VLOOKUP(A23,Table1[],20,FALSE)</f>
        <v>160.9</v>
      </c>
      <c r="F23" s="8">
        <f>VLOOKUP(A23,Table1[],22,FALSE)</f>
        <v>79.400000000000006</v>
      </c>
    </row>
    <row r="24" spans="1:6" ht="14.4" x14ac:dyDescent="0.3">
      <c r="A24" s="7" t="s">
        <v>32</v>
      </c>
      <c r="B24" s="12">
        <f>VLOOKUP(A24,Table1[],7,0)</f>
        <v>-1</v>
      </c>
      <c r="C24" s="12">
        <f>VLOOKUP(A24,Table1[],14,0)</f>
        <v>-1</v>
      </c>
      <c r="D24" s="12">
        <f>VLOOKUP(A24,Table1[],18,FALSE)</f>
        <v>-1</v>
      </c>
      <c r="E24" s="12">
        <f>VLOOKUP(A24,Table1[],20,FALSE)</f>
        <v>-1</v>
      </c>
      <c r="F24" s="8">
        <f>VLOOKUP(A24,Table1[],22,FALSE)</f>
        <v>-1</v>
      </c>
    </row>
    <row r="25" spans="1:6" ht="14.4" x14ac:dyDescent="0.3">
      <c r="A25" s="7" t="s">
        <v>34</v>
      </c>
      <c r="B25" s="12">
        <f>VLOOKUP(A25,Table1[],7,0)</f>
        <v>43.3</v>
      </c>
      <c r="C25" s="12">
        <f>VLOOKUP(A25,Table1[],14,0)</f>
        <v>128.6</v>
      </c>
      <c r="D25" s="12">
        <f>VLOOKUP(A25,Table1[],18,FALSE)</f>
        <v>79.400000000000006</v>
      </c>
      <c r="E25" s="12">
        <f>VLOOKUP(A25,Table1[],20,FALSE)</f>
        <v>160.9</v>
      </c>
      <c r="F25" s="8">
        <f>VLOOKUP(A25,Table1[],22,FALSE)</f>
        <v>79.400000000000006</v>
      </c>
    </row>
    <row r="26" spans="1:6" ht="14.4" x14ac:dyDescent="0.3">
      <c r="A26" s="7" t="s">
        <v>37</v>
      </c>
      <c r="B26" s="12">
        <f>VLOOKUP(A26,Table1[],7,0)</f>
        <v>49.1</v>
      </c>
      <c r="C26" s="12">
        <f>VLOOKUP(A26,Table1[],14,0)</f>
        <v>146.80000000000001</v>
      </c>
      <c r="D26" s="12">
        <f>VLOOKUP(A26,Table1[],18,FALSE)</f>
        <v>90.9</v>
      </c>
      <c r="E26" s="12">
        <f>VLOOKUP(A26,Table1[],20,FALSE)</f>
        <v>183.5</v>
      </c>
      <c r="F26" s="8">
        <f>VLOOKUP(A26,Table1[],22,FALSE)</f>
        <v>90.9</v>
      </c>
    </row>
    <row r="27" spans="1:6" ht="14.4" x14ac:dyDescent="0.3">
      <c r="A27" s="7" t="s">
        <v>39</v>
      </c>
      <c r="B27" s="12">
        <f>VLOOKUP(A27,Table1[],7,0)</f>
        <v>51.8</v>
      </c>
      <c r="C27" s="12">
        <f>VLOOKUP(A27,Table1[],14,0)</f>
        <v>156.4</v>
      </c>
      <c r="D27" s="12">
        <f>VLOOKUP(A27,Table1[],18,FALSE)</f>
        <v>93.1</v>
      </c>
      <c r="E27" s="12">
        <f>VLOOKUP(A27,Table1[],20,FALSE)</f>
        <v>188.1</v>
      </c>
      <c r="F27" s="8">
        <f>VLOOKUP(A27,Table1[],22,FALSE)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17" sqref="C1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153</v>
      </c>
      <c r="B6" s="40" t="s">
        <v>179</v>
      </c>
    </row>
    <row r="7" spans="1:10" ht="18" x14ac:dyDescent="0.35">
      <c r="A7" s="43"/>
      <c r="B7" s="40" t="s">
        <v>180</v>
      </c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F22"/>
  <sheetViews>
    <sheetView zoomScaleNormal="100" workbookViewId="0">
      <selection activeCell="C22" sqref="C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7.6640625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6" ht="21" x14ac:dyDescent="0.4">
      <c r="A1" s="42" t="s">
        <v>85</v>
      </c>
      <c r="B1" s="41" t="s">
        <v>167</v>
      </c>
    </row>
    <row r="2" spans="1:6" ht="18" x14ac:dyDescent="0.35">
      <c r="B2" s="40" t="s">
        <v>166</v>
      </c>
    </row>
    <row r="5" spans="1:6" ht="14.4" x14ac:dyDescent="0.3">
      <c r="B5" s="1" t="s">
        <v>151</v>
      </c>
    </row>
    <row r="6" spans="1:6" ht="14.4" x14ac:dyDescent="0.3">
      <c r="A6" s="3" t="s">
        <v>53</v>
      </c>
      <c r="B6" s="1" t="s">
        <v>188</v>
      </c>
    </row>
    <row r="7" spans="1:6" ht="14.4" x14ac:dyDescent="0.3">
      <c r="A7" s="3" t="s">
        <v>153</v>
      </c>
      <c r="B7" s="1" t="s">
        <v>189</v>
      </c>
    </row>
    <row r="8" spans="1:6" x14ac:dyDescent="0.3">
      <c r="B8" s="2" t="s">
        <v>190</v>
      </c>
    </row>
    <row r="10" spans="1:6" ht="23.4" x14ac:dyDescent="0.45">
      <c r="A10" s="18" t="s">
        <v>162</v>
      </c>
    </row>
    <row r="11" spans="1:6" ht="14.4" x14ac:dyDescent="0.3">
      <c r="A11" s="32" t="s">
        <v>86</v>
      </c>
      <c r="B11" s="17" t="s">
        <v>87</v>
      </c>
      <c r="C11" s="17" t="s">
        <v>88</v>
      </c>
      <c r="E11" s="48" t="s">
        <v>191</v>
      </c>
      <c r="F11" s="48"/>
    </row>
    <row r="12" spans="1:6" ht="14.4" customHeight="1" x14ac:dyDescent="0.3">
      <c r="A12" s="32">
        <v>44927</v>
      </c>
      <c r="B12" s="17" t="s">
        <v>59</v>
      </c>
      <c r="C12" s="17">
        <v>200</v>
      </c>
      <c r="D12" s="47">
        <f>IFERROR(C12,20)</f>
        <v>200</v>
      </c>
      <c r="E12" s="48"/>
      <c r="F12" s="48"/>
    </row>
    <row r="13" spans="1:6" ht="14.4" x14ac:dyDescent="0.3">
      <c r="A13" s="32">
        <v>44928</v>
      </c>
      <c r="B13" s="17" t="s">
        <v>60</v>
      </c>
      <c r="C13" s="17" t="e">
        <v>#N/A</v>
      </c>
      <c r="D13" s="47">
        <f t="shared" ref="D13:D21" si="0">IFERROR(C13,20)</f>
        <v>20</v>
      </c>
      <c r="E13" s="48"/>
      <c r="F13" s="48"/>
    </row>
    <row r="14" spans="1:6" ht="14.4" x14ac:dyDescent="0.3">
      <c r="A14" s="32">
        <v>44929</v>
      </c>
      <c r="B14" s="17" t="s">
        <v>61</v>
      </c>
      <c r="C14" s="17">
        <v>50</v>
      </c>
      <c r="D14" s="47">
        <f t="shared" si="0"/>
        <v>50</v>
      </c>
      <c r="E14" s="48"/>
      <c r="F14" s="48"/>
    </row>
    <row r="15" spans="1:6" ht="14.4" x14ac:dyDescent="0.3">
      <c r="A15" s="32">
        <v>44930</v>
      </c>
      <c r="B15" s="17" t="s">
        <v>62</v>
      </c>
      <c r="C15" s="17" t="e">
        <v>#N/A</v>
      </c>
      <c r="D15" s="47">
        <f t="shared" si="0"/>
        <v>20</v>
      </c>
      <c r="E15" s="48"/>
      <c r="F15" s="48"/>
    </row>
    <row r="16" spans="1:6" ht="14.4" x14ac:dyDescent="0.3">
      <c r="A16" s="32">
        <v>44931</v>
      </c>
      <c r="B16" s="17" t="s">
        <v>63</v>
      </c>
      <c r="C16" s="17">
        <v>10</v>
      </c>
      <c r="D16" s="47">
        <f t="shared" si="0"/>
        <v>10</v>
      </c>
      <c r="E16" s="48"/>
      <c r="F16" s="48"/>
    </row>
    <row r="17" spans="1:6" ht="14.4" x14ac:dyDescent="0.3">
      <c r="A17" s="32">
        <v>44932</v>
      </c>
      <c r="B17" s="17" t="s">
        <v>154</v>
      </c>
      <c r="C17" s="17">
        <v>150</v>
      </c>
      <c r="D17" s="47">
        <f t="shared" si="0"/>
        <v>150</v>
      </c>
      <c r="E17" s="48"/>
      <c r="F17" s="48"/>
    </row>
    <row r="18" spans="1:6" ht="14.4" x14ac:dyDescent="0.3">
      <c r="A18" s="32">
        <v>44933</v>
      </c>
      <c r="B18" s="17" t="s">
        <v>155</v>
      </c>
      <c r="C18" s="17">
        <v>80</v>
      </c>
      <c r="D18" s="47">
        <f t="shared" si="0"/>
        <v>80</v>
      </c>
      <c r="E18" s="48"/>
      <c r="F18" s="48"/>
    </row>
    <row r="19" spans="1:6" ht="14.4" x14ac:dyDescent="0.3">
      <c r="A19" s="32">
        <v>44934</v>
      </c>
      <c r="B19" s="17" t="s">
        <v>156</v>
      </c>
      <c r="C19" s="17" t="e">
        <v>#N/A</v>
      </c>
      <c r="D19" s="47">
        <f t="shared" si="0"/>
        <v>20</v>
      </c>
      <c r="E19" s="48"/>
      <c r="F19" s="48"/>
    </row>
    <row r="20" spans="1:6" ht="14.4" x14ac:dyDescent="0.3">
      <c r="A20" s="32">
        <v>44935</v>
      </c>
      <c r="B20" s="17" t="s">
        <v>157</v>
      </c>
      <c r="C20" s="17">
        <v>30</v>
      </c>
      <c r="D20" s="47">
        <f t="shared" si="0"/>
        <v>30</v>
      </c>
      <c r="E20" s="48"/>
      <c r="F20" s="48"/>
    </row>
    <row r="21" spans="1:6" ht="14.4" x14ac:dyDescent="0.3">
      <c r="A21" s="32">
        <v>44936</v>
      </c>
      <c r="B21" s="17" t="s">
        <v>158</v>
      </c>
      <c r="C21" s="17" t="e">
        <v>#N/A</v>
      </c>
      <c r="D21" s="47">
        <f t="shared" si="0"/>
        <v>20</v>
      </c>
      <c r="E21" s="48"/>
      <c r="F21" s="48"/>
    </row>
    <row r="22" spans="1:6" ht="14.4" x14ac:dyDescent="0.3">
      <c r="B22" s="17" t="s">
        <v>159</v>
      </c>
      <c r="C22" s="25">
        <f>SUM(D12:D21)</f>
        <v>600</v>
      </c>
      <c r="E22" s="48"/>
      <c r="F22" s="48"/>
    </row>
  </sheetData>
  <mergeCells count="1">
    <mergeCell ref="E11:F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P35"/>
  <sheetViews>
    <sheetView zoomScaleNormal="100" workbookViewId="0">
      <selection activeCell="C35" sqref="C35"/>
    </sheetView>
  </sheetViews>
  <sheetFormatPr defaultColWidth="11" defaultRowHeight="13.8" x14ac:dyDescent="0.3"/>
  <cols>
    <col min="1" max="1" width="28.21875" style="2" bestFit="1" customWidth="1"/>
    <col min="2" max="4" width="11" style="2"/>
    <col min="5" max="5" width="13.5546875" style="2" customWidth="1"/>
    <col min="6" max="16384" width="11" style="2"/>
  </cols>
  <sheetData>
    <row r="1" spans="1:16" ht="21" x14ac:dyDescent="0.4">
      <c r="A1" s="42" t="s">
        <v>98</v>
      </c>
      <c r="B1" s="41" t="s">
        <v>175</v>
      </c>
    </row>
    <row r="3" spans="1:16" ht="14.4" x14ac:dyDescent="0.3">
      <c r="B3" s="1" t="s">
        <v>151</v>
      </c>
    </row>
    <row r="4" spans="1:16" ht="18" x14ac:dyDescent="0.35">
      <c r="A4" s="43" t="s">
        <v>53</v>
      </c>
      <c r="B4" s="1"/>
      <c r="C4" s="2" t="s">
        <v>181</v>
      </c>
    </row>
    <row r="5" spans="1:16" ht="35.4" customHeight="1" x14ac:dyDescent="0.35">
      <c r="A5" s="43" t="s">
        <v>153</v>
      </c>
      <c r="B5" s="1"/>
      <c r="C5" s="48" t="s">
        <v>184</v>
      </c>
      <c r="D5" s="48"/>
      <c r="E5" s="48"/>
      <c r="F5" s="48"/>
      <c r="G5" s="48"/>
      <c r="H5" s="49" t="s">
        <v>182</v>
      </c>
      <c r="I5" s="49"/>
      <c r="J5" s="49"/>
      <c r="K5" s="49"/>
      <c r="L5" s="49"/>
    </row>
    <row r="6" spans="1:16" ht="14.4" x14ac:dyDescent="0.3">
      <c r="A6" s="3"/>
      <c r="B6" s="1"/>
      <c r="C6" s="49" t="s">
        <v>183</v>
      </c>
      <c r="D6" s="49"/>
      <c r="E6" s="49"/>
      <c r="F6" s="49"/>
      <c r="G6" s="49"/>
      <c r="H6" s="49" t="s">
        <v>185</v>
      </c>
      <c r="I6" s="49"/>
      <c r="J6" s="49"/>
      <c r="K6" s="49"/>
      <c r="L6" s="49"/>
      <c r="M6" s="48" t="s">
        <v>186</v>
      </c>
      <c r="N6" s="48"/>
      <c r="O6" s="48"/>
      <c r="P6" s="48"/>
    </row>
    <row r="7" spans="1:16" x14ac:dyDescent="0.3">
      <c r="C7" s="49"/>
      <c r="D7" s="49"/>
      <c r="E7" s="49"/>
      <c r="F7" s="49"/>
      <c r="G7" s="49"/>
      <c r="H7" s="49"/>
      <c r="I7" s="49"/>
      <c r="J7" s="49"/>
      <c r="K7" s="49"/>
      <c r="L7" s="49"/>
      <c r="M7" s="48"/>
      <c r="N7" s="48"/>
      <c r="O7" s="48"/>
      <c r="P7" s="48"/>
    </row>
    <row r="8" spans="1:16" ht="23.4" x14ac:dyDescent="0.45">
      <c r="A8" s="18" t="s">
        <v>162</v>
      </c>
      <c r="M8" s="18" t="s">
        <v>163</v>
      </c>
    </row>
    <row r="9" spans="1:16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6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6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6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6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6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6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6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  <c r="E22" s="2" t="s">
        <v>187</v>
      </c>
    </row>
    <row r="23" spans="1:14" ht="14.4" x14ac:dyDescent="0.3">
      <c r="A23" s="7">
        <v>10100</v>
      </c>
      <c r="B23" s="12">
        <v>10102</v>
      </c>
      <c r="C23" s="44">
        <f>VLOOKUP(VLOOKUP(A23,$M$10:$N$18,2,FALSE),$A$10:$J$18,MATCH(VLOOKUP(B23,$M$10:$N$18,2,FALSE),$A$9:$J$9,0),FALSE)</f>
        <v>95</v>
      </c>
      <c r="E23" s="2" t="str">
        <f>VLOOKUP(A23,$M$10:$N$18,2,FALSE)</f>
        <v>A</v>
      </c>
      <c r="F23" s="2" t="str">
        <f>VLOOKUP(B23,$M$10:$N$18,2,FALSE)</f>
        <v>B</v>
      </c>
      <c r="G23" s="2">
        <f>VLOOKUP(E23,$A$10:$J$18,MATCH(F23,$A$9:$J$9,0),FALSE)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VLOOKUP(VLOOKUP(A24,$M$10:$N$18,2,FALSE),$A$10:$J$18,MATCH(VLOOKUP(B24,$M$10:$N$18,2,FALSE),$A$9:$J$9,0),FALSE)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mergeCells count="5">
    <mergeCell ref="M6:P7"/>
    <mergeCell ref="H6:L7"/>
    <mergeCell ref="C6:G7"/>
    <mergeCell ref="C5:G5"/>
    <mergeCell ref="H5:L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_05_05_2023</vt:lpstr>
      <vt:lpstr>Monday</vt:lpstr>
      <vt:lpstr>Sunday</vt:lpstr>
      <vt:lpstr>Warrendale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shyam sundar</cp:lastModifiedBy>
  <dcterms:created xsi:type="dcterms:W3CDTF">2015-02-10T17:33:11Z</dcterms:created>
  <dcterms:modified xsi:type="dcterms:W3CDTF">2023-12-09T13:05:50Z</dcterms:modified>
</cp:coreProperties>
</file>